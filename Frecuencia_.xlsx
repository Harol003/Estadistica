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xr:revisionPtr revIDLastSave="0" documentId="13_ncr:1_{1B934B52-5E00-4AC4-864F-AFF46A37D806}" xr6:coauthVersionLast="47" xr6:coauthVersionMax="47" xr10:uidLastSave="{00000000-0000-0000-0000-000000000000}"/>
  <bookViews>
    <workbookView xWindow="-108" yWindow="-108" windowWidth="23256" windowHeight="12456" activeTab="1" xr2:uid="{9BACB86C-51E8-4F73-9909-512D20D68D34}"/>
  </bookViews>
  <sheets>
    <sheet name="ANALISIS" sheetId="1" r:id="rId1"/>
    <sheet name="EJERCICIO DE PRUEBA" sheetId="2" r:id="rId2"/>
  </sheets>
  <definedNames>
    <definedName name="_xlchart.v1.0" hidden="1">ANALISIS!$B$4</definedName>
    <definedName name="_xlchart.v1.1" hidden="1">ANALISIS!$B$5:$B$24</definedName>
    <definedName name="_xlchart.v1.2" hidden="1">ANALISIS!$C$4</definedName>
    <definedName name="_xlchart.v1.3" hidden="1">ANALISIS!$C$5:$C$24</definedName>
    <definedName name="_xlchart.v1.4" hidden="1">ANALISIS!$B$4</definedName>
    <definedName name="_xlchart.v1.5" hidden="1">ANALISIS!$B$5:$B$24</definedName>
    <definedName name="_xlchart.v1.6" hidden="1">ANALISIS!$C$4</definedName>
    <definedName name="_xlchart.v1.7" hidden="1">ANALISIS!$C$5:$C$24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4" i="1" l="1"/>
  <c r="E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</authors>
  <commentList>
    <comment ref="R33" authorId="0" shapeId="0" xr:uid="{39C57EB0-3991-416C-935A-F37672B7E4EE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Primera Acumulada</t>
        </r>
      </text>
    </comment>
    <comment ref="S33" authorId="0" shapeId="0" xr:uid="{595494E4-0475-40FE-BB6D-846F32BA50E3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Segunda Acumulada</t>
        </r>
      </text>
    </comment>
  </commentList>
</comments>
</file>

<file path=xl/sharedStrings.xml><?xml version="1.0" encoding="utf-8"?>
<sst xmlns="http://schemas.openxmlformats.org/spreadsheetml/2006/main" count="76" uniqueCount="69">
  <si>
    <t>Día</t>
  </si>
  <si>
    <t>Bicicletas Vendidas</t>
  </si>
  <si>
    <t>POLIBICI</t>
  </si>
  <si>
    <t>Una tienda de bicicletas desea analizar las ventas diarias de bicicletas durante 20 días.</t>
  </si>
  <si>
    <t>FRECUENCIA</t>
  </si>
  <si>
    <t>Frecuencia</t>
  </si>
  <si>
    <t>La frecuencia indica cuántas veces aparece un dato. Formula: =CONTAR.SI($A$2:$A$21;5)</t>
  </si>
  <si>
    <t>FRECUENCIA RELATIVA</t>
  </si>
  <si>
    <t>Representa el porcentaje que ocupa cada dato respecto al total.</t>
  </si>
  <si>
    <t>MARCA DE CLASE</t>
  </si>
  <si>
    <t>Se utiliza cuando los datos se agrupan en intervalos.</t>
  </si>
  <si>
    <t>Clase</t>
  </si>
  <si>
    <t>Intervalo</t>
  </si>
  <si>
    <t>HISTOGRAMA</t>
  </si>
  <si>
    <t>Permite visualizar cómo se distribuyen las ventas.</t>
  </si>
  <si>
    <t>Pasos</t>
  </si>
  <si>
    <t>1. Seleccione los datos.</t>
  </si>
  <si>
    <r>
      <t xml:space="preserve">2. Clic en </t>
    </r>
    <r>
      <rPr>
        <b/>
        <sz val="11"/>
        <color theme="1"/>
        <rFont val="Calibri"/>
        <family val="2"/>
        <scheme val="minor"/>
      </rPr>
      <t>Insertar</t>
    </r>
    <r>
      <rPr>
        <sz val="11"/>
        <color theme="1"/>
        <rFont val="Calibri"/>
        <family val="2"/>
        <scheme val="minor"/>
      </rPr>
      <t>.</t>
    </r>
  </si>
  <si>
    <r>
      <t xml:space="preserve">3. Seleccione </t>
    </r>
    <r>
      <rPr>
        <b/>
        <sz val="11"/>
        <color theme="1"/>
        <rFont val="Calibri"/>
        <family val="2"/>
        <scheme val="minor"/>
      </rPr>
      <t>Gráfico Estadístico</t>
    </r>
    <r>
      <rPr>
        <sz val="11"/>
        <color theme="1"/>
        <rFont val="Calibri"/>
        <family val="2"/>
        <scheme val="minor"/>
      </rPr>
      <t>.</t>
    </r>
  </si>
  <si>
    <r>
      <t xml:space="preserve">4. Elija </t>
    </r>
    <r>
      <rPr>
        <b/>
        <sz val="11"/>
        <color theme="1"/>
        <rFont val="Calibri"/>
        <family val="2"/>
        <scheme val="minor"/>
      </rPr>
      <t>Histograma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</si>
  <si>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Interpretación: </t>
    </r>
    <r>
      <rPr>
        <sz val="11"/>
        <color theme="1"/>
        <rFont val="Calibri"/>
        <family val="2"/>
        <scheme val="minor"/>
      </rPr>
      <t>Si la barra de 7-8 bicicletas es la más alta, significa que esas ventas son las más frecuentes.</t>
    </r>
  </si>
  <si>
    <t>OJIVA</t>
  </si>
  <si>
    <t>Muestra la frecuencia acumulada.</t>
  </si>
  <si>
    <t>Ventas</t>
  </si>
  <si>
    <t>Frecuencia Acumulada</t>
  </si>
  <si>
    <t>MEDIDA DE TENDENCIA CENTRAL</t>
  </si>
  <si>
    <r>
      <t xml:space="preserve">Media: Promedio de ventas.   </t>
    </r>
    <r>
      <rPr>
        <b/>
        <sz val="14"/>
        <color theme="5"/>
        <rFont val="Calibri"/>
        <family val="2"/>
        <scheme val="minor"/>
      </rPr>
      <t xml:space="preserve"> =PROMEDIO(A2:A21)</t>
    </r>
  </si>
  <si>
    <r>
      <t xml:space="preserve">Mediana: Valor central.  </t>
    </r>
    <r>
      <rPr>
        <b/>
        <sz val="14"/>
        <color theme="5"/>
        <rFont val="Calibri"/>
        <family val="2"/>
        <scheme val="minor"/>
      </rPr>
      <t>=MEDIANA(A2:A21)</t>
    </r>
  </si>
  <si>
    <r>
      <t>Moda: Dato que más se repite.</t>
    </r>
    <r>
      <rPr>
        <b/>
        <sz val="14"/>
        <color theme="5"/>
        <rFont val="Calibri"/>
        <family val="2"/>
        <scheme val="minor"/>
      </rPr>
      <t xml:space="preserve"> =MODA.UNO(A2:A21)</t>
    </r>
  </si>
  <si>
    <t>Medidas de Tendencia Central (Agrupadas)</t>
  </si>
  <si>
    <t>Marca Clase</t>
  </si>
  <si>
    <t>5.5</t>
  </si>
  <si>
    <t>7.5</t>
  </si>
  <si>
    <t>9.5</t>
  </si>
  <si>
    <t>11.5</t>
  </si>
  <si>
    <t>Usando los intervalos. Multiplicar frecuencia × marca de clase para cada fila.    =SUMA(D2:D5)/SUMA(B2:B5)</t>
  </si>
  <si>
    <t>Situación Problema: Tienda de Bicicletas "BikeZone"</t>
  </si>
  <si>
    <t>La tienda de bicicletas BikeZone desea analizar las ventas de cascos de seguridad durante 25 días para conocer el comportamiento de sus clientes y mejorar la gestión de inventarios.
Los registros de ventas diarias fueron los siguientes:</t>
  </si>
  <si>
    <t>Cascos Vendidos</t>
  </si>
  <si>
    <t>1. ¿Cuántas veces se vendieron 10 cascos?</t>
  </si>
  <si>
    <t>2. ¿Cuál fue la cantidad de ventas que más se repitió?</t>
  </si>
  <si>
    <t>3. Construya una tabla de frecuencias para todos los datos.</t>
  </si>
  <si>
    <t>Frecuencia Relativa</t>
  </si>
  <si>
    <t>4. Calcule la frecuencia relativa de cada cantidad de ventas.</t>
  </si>
  <si>
    <t>5. ¿Qué porcentaje de los días se vendieron 12 cascos?</t>
  </si>
  <si>
    <t>6. ¿Qué porcentaje representan las ventas de 15 cascos?</t>
  </si>
  <si>
    <t>Marca de Clase</t>
  </si>
  <si>
    <t>Utilice los siguientes intervalos:</t>
  </si>
  <si>
    <t>14 - 15</t>
  </si>
  <si>
    <t>7. Calcule la marca de clase de cada intervalo.</t>
  </si>
  <si>
    <t>8. Complete una tabla con intervalos, frecuencia y marca de clase.</t>
  </si>
  <si>
    <t>Histograma</t>
  </si>
  <si>
    <t>9. Construya un histograma utilizando los intervalos propuestos.</t>
  </si>
  <si>
    <t>10. ¿Cuál intervalo presenta la mayor frecuencia?</t>
  </si>
  <si>
    <t>11. ¿Qué puede concluir observando el histograma?</t>
  </si>
  <si>
    <t>Ojiva</t>
  </si>
  <si>
    <t>12. Calcule la frecuencia acumulada.</t>
  </si>
  <si>
    <t>13. Construya una ojiva utilizando los datos obtenidos.</t>
  </si>
  <si>
    <t>14. ¿Cuántos días tuvieron ventas acumuladas de hasta 13 cascos?</t>
  </si>
  <si>
    <t>Medidas de Tendencia Central</t>
  </si>
  <si>
    <t>15. Calcule la media de las ventas.</t>
  </si>
  <si>
    <t>16. Calcule la mediana.</t>
  </si>
  <si>
    <t>17. Calcule la moda.</t>
  </si>
  <si>
    <t>18. ¿Qué indica cada una de estas medidas sobre las ventas de la tienda?</t>
  </si>
  <si>
    <t>Análisis e Interpretación</t>
  </si>
  <si>
    <t>19. ¿Las ventas son constantes o presentan mucha variación? Justifique.</t>
  </si>
  <si>
    <t>20. ¿Qué cantidad de cascos debería mantener la tienda en inventario diariamente según los resultados obtenidos?</t>
  </si>
  <si>
    <t>21. Si la tienda desea realizar una promoción, ¿qué información estadística obtenida podría utilizar para tomar decisiones?</t>
  </si>
  <si>
    <t>22. Redacte una conclusión de mínimo cinco líneas sobre el comportamiento de las ventas de cascos en BikeZone.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</si>
</sst>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3" fillId="4" borderId="6" xfId="0" applyFont="1" applyFill="1" applyBorder="1" applyAlignment="1">
      <alignment horizontal="center"/>
    </xf>
    <xf numFmtId="0" fontId="0" fillId="0" borderId="8" xfId="0" applyBorder="1"/>
    <xf numFmtId="0" fontId="0" fillId="0" borderId="17" xfId="0" applyBorder="1"/>
    <xf numFmtId="0" fontId="0" fillId="0" borderId="9" xfId="0" applyBorder="1"/>
    <xf numFmtId="0" fontId="2" fillId="0" borderId="6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3" fillId="4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18" xfId="0" applyNumberFormat="1" applyBorder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16" fontId="0" fillId="0" borderId="3" xfId="0" applyNumberForma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7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horizontal="left" vertical="center" indent="1"/>
    </xf>
    <xf numFmtId="0" fontId="0" fillId="0" borderId="0" xfId="0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6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6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6" fontId="0" fillId="0" borderId="6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0" fillId="0" borderId="4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10" fillId="0" borderId="0" xfId="0" applyFont="1" applyAlignment="1">
      <alignment vertical="center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OJIVA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ANALISIS!$Q$32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ANALISIS!$Q$33:$Q$40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B-49CF-AC40-3C33E5217854}"/>
            </c:ext>
          </c:extLst>
        </c:ser>
        <c:ser>
          <c:idx val="1"/>
          <c:order val="1"/>
          <c:tx>
            <c:strRef>
              <c:f>ANALISIS!$S$32</c:f>
              <c:strCache>
                <c:ptCount val="1"/>
                <c:pt idx="0">
                  <c:v>Frecuencia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ANALISIS!$S$33:$S$40</c:f>
              <c:numCache>
                <c:formatCode>General</c:formatCode>
                <c:ptCount val="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13</c:v>
                </c:pt>
                <c:pt idx="4">
                  <c:v>16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B-49CF-AC40-3C33E5217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061328"/>
        <c:axId val="1885062160"/>
      </c:lineChart>
      <c:catAx>
        <c:axId val="1885061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062160"/>
        <c:crosses val="autoZero"/>
        <c:auto val="1"/>
        <c:lblAlgn val="ctr"/>
        <c:lblOffset val="100"/>
        <c:noMultiLvlLbl val="0"/>
      </c:catAx>
      <c:valAx>
        <c:axId val="18850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50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HISTOGRAMA</a:t>
          </a:r>
        </a:p>
      </cx:txPr>
    </cx:title>
    <cx:plotArea>
      <cx:plotAreaRegion>
        <cx:series layoutId="clusteredColumn" uniqueId="{398CAB57-CE29-4219-9EBB-94B802DCBE53}" formatIdx="0">
          <cx:tx>
            <cx:txData>
              <cx:f>_xlchart.v1.4</cx:f>
              <cx:v>Día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FDEAA423-F463-462F-856F-A344A6DA5FD4}" formatIdx="1">
          <cx:tx>
            <cx:txData>
              <cx:f>_xlchart.v1.6</cx:f>
              <cx:v>Bicicletas Vendidas</cx:v>
            </cx:txData>
          </cx:tx>
          <cx:dataLabels pos="inEnd">
            <cx:visibility seriesName="0" categoryName="0" value="1"/>
          </cx:dataLabels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7</xdr:row>
      <xdr:rowOff>175260</xdr:rowOff>
    </xdr:from>
    <xdr:to>
      <xdr:col>13</xdr:col>
      <xdr:colOff>457200</xdr:colOff>
      <xdr:row>11</xdr:row>
      <xdr:rowOff>125519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959530-E07C-4BA1-B110-3518CA38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141" y="1851660"/>
          <a:ext cx="2849879" cy="689399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</xdr:colOff>
      <xdr:row>12</xdr:row>
      <xdr:rowOff>15241</xdr:rowOff>
    </xdr:from>
    <xdr:to>
      <xdr:col>12</xdr:col>
      <xdr:colOff>350520</xdr:colOff>
      <xdr:row>21</xdr:row>
      <xdr:rowOff>48461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98E562-7EE6-4384-9B67-4D5BFB8CB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2440" y="3474721"/>
          <a:ext cx="1943100" cy="1801060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38</xdr:row>
      <xdr:rowOff>38100</xdr:rowOff>
    </xdr:from>
    <xdr:to>
      <xdr:col>8</xdr:col>
      <xdr:colOff>718411</xdr:colOff>
      <xdr:row>56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354900-3266-4CD5-8FC2-9A6E7B760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6980" y="7642860"/>
          <a:ext cx="3979771" cy="3261360"/>
        </a:xfrm>
        <a:prstGeom prst="rect">
          <a:avLst/>
        </a:prstGeom>
      </xdr:spPr>
    </xdr:pic>
    <xdr:clientData/>
  </xdr:twoCellAnchor>
  <xdr:twoCellAnchor>
    <xdr:from>
      <xdr:col>10</xdr:col>
      <xdr:colOff>15240</xdr:colOff>
      <xdr:row>39</xdr:row>
      <xdr:rowOff>11430</xdr:rowOff>
    </xdr:from>
    <xdr:to>
      <xdr:col>13</xdr:col>
      <xdr:colOff>678180</xdr:colOff>
      <xdr:row>48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46BDA27E-F321-44B6-B6E2-04706455A9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0380" y="7844790"/>
              <a:ext cx="3040380" cy="173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152400</xdr:colOff>
      <xdr:row>40</xdr:row>
      <xdr:rowOff>171450</xdr:rowOff>
    </xdr:from>
    <xdr:to>
      <xdr:col>20</xdr:col>
      <xdr:colOff>495300</xdr:colOff>
      <xdr:row>52</xdr:row>
      <xdr:rowOff>167640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8BD0DB-CC0A-438C-871E-306F4FBB4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13</xdr:row>
      <xdr:rowOff>0</xdr:rowOff>
    </xdr:from>
    <xdr:to>
      <xdr:col>23</xdr:col>
      <xdr:colOff>1394787</xdr:colOff>
      <xdr:row>22</xdr:row>
      <xdr:rowOff>137325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9DE91A-4011-4CE6-932A-EEEB7B19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19960" y="2895600"/>
          <a:ext cx="3772227" cy="1905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FCE1-0D68-4ECB-9A1E-EBCA7CA64D39}">
  <dimension ref="B1:X59"/>
  <sheetViews>
    <sheetView workbookViewId="0">
      <selection activeCell="Y10" sqref="Y10"/>
    </sheetView>
  </sheetViews>
  <sheetFormatPr baseColWidth="10" defaultRowHeight="14.4" x14ac:dyDescent="0.3"/>
  <cols>
    <col min="2" max="2" width="3.6640625" bestFit="1" customWidth="1"/>
    <col min="3" max="3" width="8.77734375" bestFit="1" customWidth="1"/>
    <col min="6" max="6" width="21.33203125" customWidth="1"/>
    <col min="7" max="7" width="4.109375" customWidth="1"/>
    <col min="10" max="10" width="4" customWidth="1"/>
    <col min="12" max="12" width="11.77734375" customWidth="1"/>
    <col min="14" max="14" width="7.88671875" bestFit="1" customWidth="1"/>
    <col min="19" max="19" width="17.33203125" customWidth="1"/>
    <col min="24" max="24" width="33.21875" customWidth="1"/>
  </cols>
  <sheetData>
    <row r="1" spans="2:24" ht="15" thickBot="1" x14ac:dyDescent="0.35">
      <c r="B1" s="39" t="s">
        <v>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2" spans="2:24" ht="15" thickBot="1" x14ac:dyDescent="0.35">
      <c r="B2" s="4" t="s">
        <v>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5"/>
    </row>
    <row r="3" spans="2:24" ht="15" thickBot="1" x14ac:dyDescent="0.35"/>
    <row r="4" spans="2:24" ht="28.8" x14ac:dyDescent="0.3">
      <c r="B4" s="36" t="s">
        <v>0</v>
      </c>
      <c r="C4" s="36" t="s">
        <v>1</v>
      </c>
      <c r="E4" s="22" t="s">
        <v>4</v>
      </c>
      <c r="F4" s="23"/>
      <c r="G4" s="23"/>
      <c r="H4" s="23"/>
      <c r="I4" s="24"/>
      <c r="K4" s="22" t="s">
        <v>7</v>
      </c>
      <c r="L4" s="23"/>
      <c r="M4" s="23"/>
      <c r="N4" s="24"/>
      <c r="P4" s="22" t="s">
        <v>25</v>
      </c>
      <c r="Q4" s="23"/>
      <c r="R4" s="23"/>
      <c r="S4" s="24"/>
      <c r="U4" s="22" t="s">
        <v>29</v>
      </c>
      <c r="V4" s="23"/>
      <c r="W4" s="23"/>
      <c r="X4" s="24"/>
    </row>
    <row r="5" spans="2:24" x14ac:dyDescent="0.3">
      <c r="B5" s="37">
        <v>1</v>
      </c>
      <c r="C5" s="38">
        <v>5</v>
      </c>
      <c r="E5" s="25"/>
      <c r="F5" s="26"/>
      <c r="G5" s="26"/>
      <c r="H5" s="26"/>
      <c r="I5" s="27"/>
      <c r="K5" s="25"/>
      <c r="L5" s="26"/>
      <c r="M5" s="26"/>
      <c r="N5" s="27"/>
      <c r="P5" s="25"/>
      <c r="Q5" s="26"/>
      <c r="R5" s="26"/>
      <c r="S5" s="27"/>
      <c r="U5" s="25"/>
      <c r="V5" s="26"/>
      <c r="W5" s="26"/>
      <c r="X5" s="27"/>
    </row>
    <row r="6" spans="2:24" ht="15" thickBot="1" x14ac:dyDescent="0.35">
      <c r="B6" s="37">
        <v>2</v>
      </c>
      <c r="C6" s="38">
        <v>8</v>
      </c>
      <c r="E6" s="25"/>
      <c r="F6" s="26"/>
      <c r="G6" s="26"/>
      <c r="H6" s="26"/>
      <c r="I6" s="27"/>
      <c r="K6" s="25"/>
      <c r="L6" s="26"/>
      <c r="M6" s="26"/>
      <c r="N6" s="27"/>
      <c r="P6" s="25"/>
      <c r="Q6" s="26"/>
      <c r="R6" s="26"/>
      <c r="S6" s="27"/>
      <c r="U6" s="75" t="s">
        <v>35</v>
      </c>
      <c r="V6" s="76"/>
      <c r="W6" s="76"/>
      <c r="X6" s="77"/>
    </row>
    <row r="7" spans="2:24" ht="28.8" x14ac:dyDescent="0.3">
      <c r="B7" s="37">
        <v>3</v>
      </c>
      <c r="C7" s="38">
        <v>6</v>
      </c>
      <c r="E7" s="16" t="s">
        <v>6</v>
      </c>
      <c r="F7" s="17"/>
      <c r="G7" s="9"/>
      <c r="H7" s="10" t="s">
        <v>1</v>
      </c>
      <c r="I7" s="11" t="s">
        <v>5</v>
      </c>
      <c r="K7" s="32" t="s">
        <v>8</v>
      </c>
      <c r="L7" s="33"/>
      <c r="M7" s="33"/>
      <c r="N7" s="34"/>
      <c r="P7" s="68" t="s">
        <v>26</v>
      </c>
      <c r="Q7" s="69"/>
      <c r="R7" s="69"/>
      <c r="S7" s="70"/>
      <c r="U7" s="25"/>
      <c r="V7" s="26"/>
      <c r="W7" s="26"/>
      <c r="X7" s="27"/>
    </row>
    <row r="8" spans="2:24" x14ac:dyDescent="0.3">
      <c r="B8" s="37">
        <v>4</v>
      </c>
      <c r="C8" s="38">
        <v>10</v>
      </c>
      <c r="E8" s="18"/>
      <c r="F8" s="19"/>
      <c r="G8" s="9"/>
      <c r="H8" s="12">
        <v>5</v>
      </c>
      <c r="I8" s="13">
        <v>3</v>
      </c>
      <c r="K8" s="25"/>
      <c r="L8" s="26"/>
      <c r="M8" s="26"/>
      <c r="N8" s="27"/>
      <c r="P8" s="25"/>
      <c r="Q8" s="26"/>
      <c r="R8" s="26"/>
      <c r="S8" s="27"/>
      <c r="U8" s="78" t="s">
        <v>12</v>
      </c>
      <c r="V8" s="79" t="s">
        <v>5</v>
      </c>
      <c r="W8" s="79" t="s">
        <v>30</v>
      </c>
      <c r="X8" s="27"/>
    </row>
    <row r="9" spans="2:24" x14ac:dyDescent="0.3">
      <c r="B9" s="37">
        <v>5</v>
      </c>
      <c r="C9" s="38">
        <v>7</v>
      </c>
      <c r="E9" s="18"/>
      <c r="F9" s="19"/>
      <c r="G9" s="9"/>
      <c r="H9" s="12">
        <v>6</v>
      </c>
      <c r="I9" s="13">
        <v>3</v>
      </c>
      <c r="K9" s="25"/>
      <c r="L9" s="26"/>
      <c r="M9" s="26"/>
      <c r="N9" s="27"/>
      <c r="P9" s="72" t="s">
        <v>27</v>
      </c>
      <c r="Q9" s="52"/>
      <c r="R9" s="52"/>
      <c r="S9" s="53"/>
      <c r="U9" s="80">
        <v>46178</v>
      </c>
      <c r="V9" s="81">
        <v>6</v>
      </c>
      <c r="W9" s="81" t="s">
        <v>31</v>
      </c>
      <c r="X9" s="27"/>
    </row>
    <row r="10" spans="2:24" ht="15" thickBot="1" x14ac:dyDescent="0.35">
      <c r="B10" s="37">
        <v>6</v>
      </c>
      <c r="C10" s="38">
        <v>5</v>
      </c>
      <c r="E10" s="20"/>
      <c r="F10" s="21"/>
      <c r="G10" s="9"/>
      <c r="H10" s="12">
        <v>7</v>
      </c>
      <c r="I10" s="13">
        <v>3</v>
      </c>
      <c r="K10" s="25"/>
      <c r="L10" s="26"/>
      <c r="M10" s="26"/>
      <c r="N10" s="27"/>
      <c r="P10" s="51"/>
      <c r="Q10" s="52"/>
      <c r="R10" s="52"/>
      <c r="S10" s="53"/>
      <c r="U10" s="80">
        <v>46241</v>
      </c>
      <c r="V10" s="81">
        <v>7</v>
      </c>
      <c r="W10" s="81" t="s">
        <v>32</v>
      </c>
      <c r="X10" s="27"/>
    </row>
    <row r="11" spans="2:24" x14ac:dyDescent="0.3">
      <c r="B11" s="37">
        <v>7</v>
      </c>
      <c r="C11" s="38">
        <v>9</v>
      </c>
      <c r="E11" s="25"/>
      <c r="F11" s="26"/>
      <c r="G11" s="26"/>
      <c r="H11" s="12">
        <v>8</v>
      </c>
      <c r="I11" s="13">
        <v>4</v>
      </c>
      <c r="K11" s="25"/>
      <c r="L11" s="26"/>
      <c r="M11" s="26"/>
      <c r="N11" s="27"/>
      <c r="P11" s="25"/>
      <c r="Q11" s="26"/>
      <c r="R11" s="26"/>
      <c r="S11" s="27"/>
      <c r="U11" s="80">
        <v>46304</v>
      </c>
      <c r="V11" s="81">
        <v>5</v>
      </c>
      <c r="W11" s="81" t="s">
        <v>33</v>
      </c>
      <c r="X11" s="27"/>
    </row>
    <row r="12" spans="2:24" ht="23.4" x14ac:dyDescent="0.45">
      <c r="B12" s="37">
        <v>8</v>
      </c>
      <c r="C12" s="38">
        <v>8</v>
      </c>
      <c r="E12" s="28">
        <f>COUNTIF(C5:C24,C5)</f>
        <v>3</v>
      </c>
      <c r="F12" s="26"/>
      <c r="G12" s="26"/>
      <c r="H12" s="12">
        <v>9</v>
      </c>
      <c r="I12" s="13">
        <v>3</v>
      </c>
      <c r="K12" s="25"/>
      <c r="L12" s="26"/>
      <c r="M12" s="26"/>
      <c r="N12" s="27"/>
      <c r="P12" s="71" t="s">
        <v>28</v>
      </c>
      <c r="Q12" s="73"/>
      <c r="R12" s="73"/>
      <c r="S12" s="74"/>
      <c r="U12" s="80">
        <v>46367</v>
      </c>
      <c r="V12" s="81">
        <v>2</v>
      </c>
      <c r="W12" s="81" t="s">
        <v>34</v>
      </c>
      <c r="X12" s="27"/>
    </row>
    <row r="13" spans="2:24" x14ac:dyDescent="0.3">
      <c r="B13" s="37">
        <v>9</v>
      </c>
      <c r="C13" s="38">
        <v>12</v>
      </c>
      <c r="E13" s="25"/>
      <c r="F13" s="26"/>
      <c r="G13" s="26"/>
      <c r="H13" s="12">
        <v>10</v>
      </c>
      <c r="I13" s="13">
        <v>2</v>
      </c>
      <c r="K13" s="25"/>
      <c r="L13" s="26"/>
      <c r="M13" s="26"/>
      <c r="N13" s="27"/>
      <c r="P13" s="25"/>
      <c r="Q13" s="26"/>
      <c r="R13" s="26"/>
      <c r="S13" s="27"/>
      <c r="U13" s="25"/>
      <c r="V13" s="26"/>
      <c r="W13" s="26"/>
      <c r="X13" s="27"/>
    </row>
    <row r="14" spans="2:24" ht="23.4" x14ac:dyDescent="0.45">
      <c r="B14" s="37">
        <v>10</v>
      </c>
      <c r="C14" s="38">
        <v>6</v>
      </c>
      <c r="E14" s="25"/>
      <c r="F14" s="26"/>
      <c r="G14" s="26"/>
      <c r="H14" s="12">
        <v>11</v>
      </c>
      <c r="I14" s="13">
        <v>1</v>
      </c>
      <c r="K14" s="25"/>
      <c r="L14" s="26"/>
      <c r="M14" s="26"/>
      <c r="N14" s="35">
        <f>E12/20</f>
        <v>0.15</v>
      </c>
      <c r="P14" s="25"/>
      <c r="Q14" s="26"/>
      <c r="R14" s="26"/>
      <c r="S14" s="27"/>
      <c r="U14" s="25"/>
      <c r="V14" s="26"/>
      <c r="W14" s="26"/>
      <c r="X14" s="27"/>
    </row>
    <row r="15" spans="2:24" ht="15" thickBot="1" x14ac:dyDescent="0.35">
      <c r="B15" s="37">
        <v>11</v>
      </c>
      <c r="C15" s="38">
        <v>7</v>
      </c>
      <c r="E15" s="25"/>
      <c r="F15" s="26"/>
      <c r="G15" s="26"/>
      <c r="H15" s="14">
        <v>12</v>
      </c>
      <c r="I15" s="15">
        <v>1</v>
      </c>
      <c r="K15" s="25"/>
      <c r="L15" s="26"/>
      <c r="M15" s="26"/>
      <c r="N15" s="27"/>
      <c r="P15" s="25"/>
      <c r="Q15" s="26"/>
      <c r="R15" s="26"/>
      <c r="S15" s="27"/>
      <c r="U15" s="25"/>
      <c r="V15" s="26"/>
      <c r="W15" s="26"/>
      <c r="X15" s="27"/>
    </row>
    <row r="16" spans="2:24" x14ac:dyDescent="0.3">
      <c r="B16" s="37">
        <v>12</v>
      </c>
      <c r="C16" s="38">
        <v>8</v>
      </c>
      <c r="E16" s="25"/>
      <c r="F16" s="26"/>
      <c r="G16" s="26"/>
      <c r="H16" s="26"/>
      <c r="I16" s="27"/>
      <c r="K16" s="25"/>
      <c r="L16" s="26"/>
      <c r="M16" s="26"/>
      <c r="N16" s="27"/>
      <c r="P16" s="25"/>
      <c r="Q16" s="26"/>
      <c r="R16" s="26"/>
      <c r="S16" s="27"/>
      <c r="U16" s="25"/>
      <c r="V16" s="26"/>
      <c r="W16" s="26"/>
      <c r="X16" s="27"/>
    </row>
    <row r="17" spans="2:24" x14ac:dyDescent="0.3">
      <c r="B17" s="37">
        <v>13</v>
      </c>
      <c r="C17" s="38">
        <v>9</v>
      </c>
      <c r="E17" s="25"/>
      <c r="F17" s="26"/>
      <c r="G17" s="26"/>
      <c r="H17" s="26"/>
      <c r="I17" s="27"/>
      <c r="K17" s="25"/>
      <c r="L17" s="26"/>
      <c r="M17" s="26"/>
      <c r="N17" s="27"/>
      <c r="P17" s="25"/>
      <c r="Q17" s="26"/>
      <c r="R17" s="26"/>
      <c r="S17" s="27"/>
      <c r="U17" s="25"/>
      <c r="V17" s="26"/>
      <c r="W17" s="26"/>
      <c r="X17" s="27"/>
    </row>
    <row r="18" spans="2:24" x14ac:dyDescent="0.3">
      <c r="B18" s="37">
        <v>14</v>
      </c>
      <c r="C18" s="38">
        <v>5</v>
      </c>
      <c r="E18" s="25"/>
      <c r="F18" s="26"/>
      <c r="G18" s="26"/>
      <c r="H18" s="26"/>
      <c r="I18" s="27"/>
      <c r="K18" s="25"/>
      <c r="L18" s="26"/>
      <c r="M18" s="26"/>
      <c r="N18" s="27"/>
      <c r="P18" s="25"/>
      <c r="Q18" s="26"/>
      <c r="R18" s="26"/>
      <c r="S18" s="27"/>
      <c r="U18" s="25"/>
      <c r="V18" s="26"/>
      <c r="W18" s="26"/>
      <c r="X18" s="27"/>
    </row>
    <row r="19" spans="2:24" x14ac:dyDescent="0.3">
      <c r="B19" s="37">
        <v>15</v>
      </c>
      <c r="C19" s="38">
        <v>11</v>
      </c>
      <c r="E19" s="25"/>
      <c r="F19" s="26"/>
      <c r="G19" s="26"/>
      <c r="H19" s="26"/>
      <c r="I19" s="27"/>
      <c r="K19" s="25"/>
      <c r="L19" s="26"/>
      <c r="M19" s="26"/>
      <c r="N19" s="27"/>
      <c r="P19" s="25"/>
      <c r="Q19" s="26"/>
      <c r="R19" s="26"/>
      <c r="S19" s="27"/>
      <c r="U19" s="25"/>
      <c r="V19" s="26"/>
      <c r="W19" s="26"/>
      <c r="X19" s="27"/>
    </row>
    <row r="20" spans="2:24" x14ac:dyDescent="0.3">
      <c r="B20" s="37">
        <v>16</v>
      </c>
      <c r="C20" s="38">
        <v>7</v>
      </c>
      <c r="E20" s="25"/>
      <c r="F20" s="26"/>
      <c r="G20" s="26"/>
      <c r="H20" s="26"/>
      <c r="I20" s="27"/>
      <c r="K20" s="25"/>
      <c r="L20" s="26"/>
      <c r="M20" s="26"/>
      <c r="N20" s="27"/>
      <c r="P20" s="25"/>
      <c r="Q20" s="26"/>
      <c r="R20" s="26"/>
      <c r="S20" s="27"/>
      <c r="U20" s="25"/>
      <c r="V20" s="26"/>
      <c r="W20" s="26"/>
      <c r="X20" s="27"/>
    </row>
    <row r="21" spans="2:24" x14ac:dyDescent="0.3">
      <c r="B21" s="37">
        <v>17</v>
      </c>
      <c r="C21" s="38">
        <v>8</v>
      </c>
      <c r="E21" s="25"/>
      <c r="F21" s="26"/>
      <c r="G21" s="26"/>
      <c r="H21" s="26"/>
      <c r="I21" s="27"/>
      <c r="K21" s="25"/>
      <c r="L21" s="26"/>
      <c r="M21" s="26"/>
      <c r="N21" s="27"/>
      <c r="P21" s="25"/>
      <c r="Q21" s="26"/>
      <c r="R21" s="26"/>
      <c r="S21" s="27"/>
      <c r="U21" s="25"/>
      <c r="V21" s="26"/>
      <c r="W21" s="26"/>
      <c r="X21" s="27"/>
    </row>
    <row r="22" spans="2:24" x14ac:dyDescent="0.3">
      <c r="B22" s="37">
        <v>18</v>
      </c>
      <c r="C22" s="38">
        <v>10</v>
      </c>
      <c r="E22" s="25"/>
      <c r="F22" s="26"/>
      <c r="G22" s="26"/>
      <c r="H22" s="26"/>
      <c r="I22" s="27"/>
      <c r="K22" s="25"/>
      <c r="L22" s="26"/>
      <c r="M22" s="26"/>
      <c r="N22" s="27"/>
      <c r="P22" s="25"/>
      <c r="Q22" s="26"/>
      <c r="R22" s="26"/>
      <c r="S22" s="27"/>
      <c r="U22" s="25"/>
      <c r="V22" s="26"/>
      <c r="W22" s="26"/>
      <c r="X22" s="27"/>
    </row>
    <row r="23" spans="2:24" x14ac:dyDescent="0.3">
      <c r="B23" s="37">
        <v>19</v>
      </c>
      <c r="C23" s="38">
        <v>6</v>
      </c>
      <c r="E23" s="25"/>
      <c r="F23" s="26"/>
      <c r="G23" s="26"/>
      <c r="H23" s="26"/>
      <c r="I23" s="27"/>
      <c r="K23" s="25"/>
      <c r="L23" s="26"/>
      <c r="M23" s="26"/>
      <c r="N23" s="27"/>
      <c r="P23" s="25"/>
      <c r="Q23" s="26"/>
      <c r="R23" s="26"/>
      <c r="S23" s="27"/>
      <c r="U23" s="25"/>
      <c r="V23" s="26"/>
      <c r="W23" s="26"/>
      <c r="X23" s="27"/>
    </row>
    <row r="24" spans="2:24" ht="15" thickBot="1" x14ac:dyDescent="0.35">
      <c r="B24" s="37">
        <v>20</v>
      </c>
      <c r="C24" s="38">
        <v>9</v>
      </c>
      <c r="E24" s="29"/>
      <c r="F24" s="30"/>
      <c r="G24" s="30"/>
      <c r="H24" s="30"/>
      <c r="I24" s="31"/>
      <c r="K24" s="29"/>
      <c r="L24" s="30"/>
      <c r="M24" s="30"/>
      <c r="N24" s="31"/>
      <c r="P24" s="29"/>
      <c r="Q24" s="30"/>
      <c r="R24" s="30"/>
      <c r="S24" s="31"/>
      <c r="U24" s="29"/>
      <c r="V24" s="30"/>
      <c r="W24" s="30"/>
      <c r="X24" s="31"/>
    </row>
    <row r="26" spans="2:24" ht="15" thickBot="1" x14ac:dyDescent="0.35"/>
    <row r="27" spans="2:24" x14ac:dyDescent="0.3">
      <c r="E27" s="45" t="s">
        <v>9</v>
      </c>
      <c r="F27" s="46"/>
      <c r="G27" s="46"/>
      <c r="H27" s="46"/>
      <c r="I27" s="47"/>
      <c r="K27" s="45" t="s">
        <v>13</v>
      </c>
      <c r="L27" s="46"/>
      <c r="M27" s="46"/>
      <c r="N27" s="46"/>
      <c r="O27" s="47"/>
      <c r="Q27" s="45" t="s">
        <v>21</v>
      </c>
      <c r="R27" s="46"/>
      <c r="S27" s="46"/>
      <c r="T27" s="46"/>
      <c r="U27" s="47"/>
    </row>
    <row r="28" spans="2:24" ht="15" thickBot="1" x14ac:dyDescent="0.35">
      <c r="E28" s="48"/>
      <c r="F28" s="49"/>
      <c r="G28" s="49"/>
      <c r="H28" s="49"/>
      <c r="I28" s="50"/>
      <c r="K28" s="48"/>
      <c r="L28" s="49"/>
      <c r="M28" s="49"/>
      <c r="N28" s="49"/>
      <c r="O28" s="50"/>
      <c r="Q28" s="48"/>
      <c r="R28" s="49"/>
      <c r="S28" s="49"/>
      <c r="T28" s="49"/>
      <c r="U28" s="50"/>
    </row>
    <row r="29" spans="2:24" x14ac:dyDescent="0.3">
      <c r="E29" s="25"/>
      <c r="F29" s="26"/>
      <c r="G29" s="26"/>
      <c r="H29" s="26"/>
      <c r="I29" s="27"/>
      <c r="K29" s="25"/>
      <c r="L29" s="26"/>
      <c r="M29" s="26"/>
      <c r="N29" s="26"/>
      <c r="O29" s="27"/>
      <c r="Q29" s="60"/>
      <c r="R29" s="61"/>
      <c r="S29" s="61"/>
      <c r="T29" s="61"/>
      <c r="U29" s="62"/>
    </row>
    <row r="30" spans="2:24" x14ac:dyDescent="0.3">
      <c r="E30" s="51" t="s">
        <v>10</v>
      </c>
      <c r="F30" s="52"/>
      <c r="G30" s="52"/>
      <c r="H30" s="52"/>
      <c r="I30" s="53"/>
      <c r="K30" s="51" t="s">
        <v>14</v>
      </c>
      <c r="L30" s="52"/>
      <c r="M30" s="52"/>
      <c r="N30" s="52"/>
      <c r="O30" s="53"/>
      <c r="Q30" s="63" t="s">
        <v>22</v>
      </c>
      <c r="R30" s="64"/>
      <c r="S30" s="64"/>
      <c r="T30" s="64"/>
      <c r="U30" s="65"/>
    </row>
    <row r="31" spans="2:24" x14ac:dyDescent="0.3">
      <c r="E31" s="51"/>
      <c r="F31" s="52"/>
      <c r="G31" s="52"/>
      <c r="H31" s="52"/>
      <c r="I31" s="53"/>
      <c r="K31" s="51"/>
      <c r="L31" s="52"/>
      <c r="M31" s="52"/>
      <c r="N31" s="52"/>
      <c r="O31" s="53"/>
      <c r="Q31" s="25"/>
      <c r="R31" s="26"/>
      <c r="S31" s="26"/>
      <c r="T31" s="26"/>
      <c r="U31" s="27"/>
    </row>
    <row r="32" spans="2:24" ht="28.8" x14ac:dyDescent="0.3">
      <c r="E32" s="25"/>
      <c r="F32" s="26"/>
      <c r="G32" s="26"/>
      <c r="H32" s="26"/>
      <c r="I32" s="27"/>
      <c r="K32" s="25"/>
      <c r="L32" s="26"/>
      <c r="M32" s="26"/>
      <c r="N32" s="26"/>
      <c r="O32" s="27"/>
      <c r="Q32" s="66" t="s">
        <v>23</v>
      </c>
      <c r="R32" s="59" t="s">
        <v>5</v>
      </c>
      <c r="S32" s="59" t="s">
        <v>24</v>
      </c>
      <c r="T32" s="26"/>
      <c r="U32" s="27"/>
    </row>
    <row r="33" spans="5:21" ht="18" x14ac:dyDescent="0.3">
      <c r="E33" s="54" t="s">
        <v>11</v>
      </c>
      <c r="F33" s="44" t="s">
        <v>12</v>
      </c>
      <c r="G33" s="26"/>
      <c r="H33" s="26"/>
      <c r="I33" s="27"/>
      <c r="K33" s="56" t="s">
        <v>15</v>
      </c>
      <c r="L33" s="26"/>
      <c r="M33" s="26"/>
      <c r="N33" s="26"/>
      <c r="O33" s="27"/>
      <c r="Q33" s="67">
        <v>5</v>
      </c>
      <c r="R33" s="6">
        <v>3</v>
      </c>
      <c r="S33" s="6">
        <v>3</v>
      </c>
      <c r="T33" s="26"/>
      <c r="U33" s="27"/>
    </row>
    <row r="34" spans="5:21" x14ac:dyDescent="0.3">
      <c r="E34" s="12">
        <v>1</v>
      </c>
      <c r="F34" s="43">
        <v>46178</v>
      </c>
      <c r="G34" s="26"/>
      <c r="H34" s="26"/>
      <c r="I34" s="27"/>
      <c r="K34" s="57"/>
      <c r="L34" s="26"/>
      <c r="M34" s="26"/>
      <c r="N34" s="26"/>
      <c r="O34" s="27"/>
      <c r="Q34" s="67">
        <v>6</v>
      </c>
      <c r="R34" s="6">
        <v>3</v>
      </c>
      <c r="S34" s="6">
        <v>6</v>
      </c>
      <c r="T34" s="26"/>
      <c r="U34" s="27"/>
    </row>
    <row r="35" spans="5:21" x14ac:dyDescent="0.3">
      <c r="E35" s="12">
        <v>2</v>
      </c>
      <c r="F35" s="43">
        <v>46241</v>
      </c>
      <c r="G35" s="26"/>
      <c r="H35" s="26"/>
      <c r="I35" s="27"/>
      <c r="K35" s="57" t="s">
        <v>16</v>
      </c>
      <c r="L35" s="26"/>
      <c r="M35" s="26"/>
      <c r="N35" s="26"/>
      <c r="O35" s="27"/>
      <c r="Q35" s="67">
        <v>7</v>
      </c>
      <c r="R35" s="6">
        <v>3</v>
      </c>
      <c r="S35" s="6">
        <v>9</v>
      </c>
      <c r="T35" s="26"/>
      <c r="U35" s="27"/>
    </row>
    <row r="36" spans="5:21" x14ac:dyDescent="0.3">
      <c r="E36" s="12">
        <v>3</v>
      </c>
      <c r="F36" s="43">
        <v>46304</v>
      </c>
      <c r="G36" s="26"/>
      <c r="H36" s="26"/>
      <c r="I36" s="27"/>
      <c r="K36" s="57" t="s">
        <v>17</v>
      </c>
      <c r="L36" s="26"/>
      <c r="M36" s="26"/>
      <c r="N36" s="26"/>
      <c r="O36" s="27"/>
      <c r="Q36" s="67">
        <v>8</v>
      </c>
      <c r="R36" s="6">
        <v>4</v>
      </c>
      <c r="S36" s="6">
        <v>13</v>
      </c>
      <c r="T36" s="26"/>
      <c r="U36" s="27"/>
    </row>
    <row r="37" spans="5:21" x14ac:dyDescent="0.3">
      <c r="E37" s="12">
        <v>4</v>
      </c>
      <c r="F37" s="43">
        <v>46367</v>
      </c>
      <c r="G37" s="26"/>
      <c r="H37" s="26"/>
      <c r="I37" s="27"/>
      <c r="K37" s="57" t="s">
        <v>18</v>
      </c>
      <c r="L37" s="26"/>
      <c r="M37" s="26"/>
      <c r="N37" s="26"/>
      <c r="O37" s="27"/>
      <c r="Q37" s="67">
        <v>9</v>
      </c>
      <c r="R37" s="6">
        <v>3</v>
      </c>
      <c r="S37" s="6">
        <v>16</v>
      </c>
      <c r="T37" s="26"/>
      <c r="U37" s="27"/>
    </row>
    <row r="38" spans="5:21" x14ac:dyDescent="0.3">
      <c r="E38" s="25"/>
      <c r="F38" s="26"/>
      <c r="G38" s="26"/>
      <c r="H38" s="26"/>
      <c r="I38" s="27"/>
      <c r="K38" s="57" t="s">
        <v>19</v>
      </c>
      <c r="L38" s="26"/>
      <c r="M38" s="26"/>
      <c r="N38" s="26"/>
      <c r="O38" s="27"/>
      <c r="Q38" s="67">
        <v>10</v>
      </c>
      <c r="R38" s="6">
        <v>2</v>
      </c>
      <c r="S38" s="6">
        <v>18</v>
      </c>
      <c r="T38" s="26"/>
      <c r="U38" s="27"/>
    </row>
    <row r="39" spans="5:21" x14ac:dyDescent="0.3">
      <c r="E39" s="25"/>
      <c r="F39" s="26"/>
      <c r="G39" s="26"/>
      <c r="H39" s="26"/>
      <c r="I39" s="27"/>
      <c r="K39" s="25"/>
      <c r="L39" s="26"/>
      <c r="M39" s="26"/>
      <c r="N39" s="26"/>
      <c r="O39" s="27"/>
      <c r="Q39" s="67">
        <v>11</v>
      </c>
      <c r="R39" s="6">
        <v>1</v>
      </c>
      <c r="S39" s="6">
        <v>19</v>
      </c>
      <c r="T39" s="26"/>
      <c r="U39" s="27"/>
    </row>
    <row r="40" spans="5:21" x14ac:dyDescent="0.3">
      <c r="E40" s="25"/>
      <c r="F40" s="26"/>
      <c r="G40" s="26"/>
      <c r="H40" s="26"/>
      <c r="I40" s="27"/>
      <c r="K40" s="25"/>
      <c r="L40" s="26"/>
      <c r="M40" s="26"/>
      <c r="N40" s="26"/>
      <c r="O40" s="27"/>
      <c r="Q40" s="67">
        <v>12</v>
      </c>
      <c r="R40" s="6">
        <v>1</v>
      </c>
      <c r="S40" s="6">
        <v>20</v>
      </c>
      <c r="T40" s="26"/>
      <c r="U40" s="27"/>
    </row>
    <row r="41" spans="5:21" x14ac:dyDescent="0.3">
      <c r="E41" s="25"/>
      <c r="F41" s="26"/>
      <c r="G41" s="26"/>
      <c r="H41" s="26"/>
      <c r="I41" s="27"/>
      <c r="K41" s="25"/>
      <c r="L41" s="26"/>
      <c r="M41" s="26"/>
      <c r="N41" s="26"/>
      <c r="O41" s="27"/>
      <c r="Q41" s="25"/>
      <c r="R41" s="26"/>
      <c r="S41" s="26"/>
      <c r="T41" s="26"/>
      <c r="U41" s="27"/>
    </row>
    <row r="42" spans="5:21" x14ac:dyDescent="0.3">
      <c r="E42" s="25"/>
      <c r="F42" s="26"/>
      <c r="G42" s="26"/>
      <c r="H42" s="26"/>
      <c r="I42" s="27"/>
      <c r="K42" s="25"/>
      <c r="L42" s="26"/>
      <c r="M42" s="26"/>
      <c r="N42" s="26"/>
      <c r="O42" s="27"/>
      <c r="Q42" s="25"/>
      <c r="R42" s="26"/>
      <c r="S42" s="26"/>
      <c r="T42" s="26"/>
      <c r="U42" s="27"/>
    </row>
    <row r="43" spans="5:21" x14ac:dyDescent="0.3">
      <c r="E43" s="25"/>
      <c r="F43" s="26"/>
      <c r="G43" s="26"/>
      <c r="H43" s="26"/>
      <c r="I43" s="27"/>
      <c r="K43" s="25"/>
      <c r="L43" s="26"/>
      <c r="M43" s="26"/>
      <c r="N43" s="26"/>
      <c r="O43" s="27"/>
      <c r="Q43" s="25"/>
      <c r="R43" s="26"/>
      <c r="S43" s="26"/>
      <c r="T43" s="26"/>
      <c r="U43" s="27"/>
    </row>
    <row r="44" spans="5:21" x14ac:dyDescent="0.3">
      <c r="E44" s="25"/>
      <c r="F44" s="26"/>
      <c r="G44" s="26"/>
      <c r="H44" s="26"/>
      <c r="I44" s="27"/>
      <c r="K44" s="25"/>
      <c r="L44" s="26"/>
      <c r="M44" s="26"/>
      <c r="N44" s="26"/>
      <c r="O44" s="27"/>
      <c r="Q44" s="25"/>
      <c r="R44" s="26"/>
      <c r="S44" s="26"/>
      <c r="T44" s="26"/>
      <c r="U44" s="27"/>
    </row>
    <row r="45" spans="5:21" x14ac:dyDescent="0.3">
      <c r="E45" s="25"/>
      <c r="F45" s="26"/>
      <c r="G45" s="26"/>
      <c r="H45" s="26"/>
      <c r="I45" s="27"/>
      <c r="K45" s="25"/>
      <c r="L45" s="26"/>
      <c r="M45" s="26"/>
      <c r="N45" s="26"/>
      <c r="O45" s="27"/>
      <c r="Q45" s="25"/>
      <c r="R45" s="26"/>
      <c r="S45" s="26"/>
      <c r="T45" s="26"/>
      <c r="U45" s="27"/>
    </row>
    <row r="46" spans="5:21" x14ac:dyDescent="0.3">
      <c r="E46" s="25"/>
      <c r="F46" s="26"/>
      <c r="G46" s="26"/>
      <c r="H46" s="26"/>
      <c r="I46" s="27"/>
      <c r="K46" s="25"/>
      <c r="L46" s="26"/>
      <c r="M46" s="26"/>
      <c r="N46" s="26"/>
      <c r="O46" s="27"/>
      <c r="Q46" s="25"/>
      <c r="R46" s="26"/>
      <c r="S46" s="26"/>
      <c r="T46" s="26"/>
      <c r="U46" s="27"/>
    </row>
    <row r="47" spans="5:21" x14ac:dyDescent="0.3">
      <c r="E47" s="25"/>
      <c r="F47" s="26"/>
      <c r="G47" s="26"/>
      <c r="H47" s="26"/>
      <c r="I47" s="27"/>
      <c r="K47" s="25"/>
      <c r="L47" s="26"/>
      <c r="M47" s="26"/>
      <c r="N47" s="26"/>
      <c r="O47" s="27"/>
      <c r="Q47" s="25"/>
      <c r="R47" s="26"/>
      <c r="S47" s="26"/>
      <c r="T47" s="26"/>
      <c r="U47" s="27"/>
    </row>
    <row r="48" spans="5:21" x14ac:dyDescent="0.3">
      <c r="E48" s="25"/>
      <c r="F48" s="26"/>
      <c r="G48" s="26"/>
      <c r="H48" s="26"/>
      <c r="I48" s="27"/>
      <c r="K48" s="25"/>
      <c r="L48" s="26"/>
      <c r="M48" s="26"/>
      <c r="N48" s="26"/>
      <c r="O48" s="27"/>
      <c r="Q48" s="25"/>
      <c r="R48" s="26"/>
      <c r="S48" s="26"/>
      <c r="T48" s="26"/>
      <c r="U48" s="27"/>
    </row>
    <row r="49" spans="5:21" x14ac:dyDescent="0.3">
      <c r="E49" s="25"/>
      <c r="F49" s="26"/>
      <c r="G49" s="26"/>
      <c r="H49" s="26"/>
      <c r="I49" s="27"/>
      <c r="K49" s="25"/>
      <c r="L49" s="26"/>
      <c r="M49" s="26"/>
      <c r="N49" s="26"/>
      <c r="O49" s="27"/>
      <c r="Q49" s="25"/>
      <c r="R49" s="26"/>
      <c r="S49" s="26"/>
      <c r="T49" s="26"/>
      <c r="U49" s="27"/>
    </row>
    <row r="50" spans="5:21" x14ac:dyDescent="0.3">
      <c r="E50" s="25"/>
      <c r="F50" s="26"/>
      <c r="G50" s="26"/>
      <c r="H50" s="26"/>
      <c r="I50" s="27"/>
      <c r="K50" s="25"/>
      <c r="L50" s="26"/>
      <c r="M50" s="26"/>
      <c r="N50" s="26"/>
      <c r="O50" s="27"/>
      <c r="Q50" s="25"/>
      <c r="R50" s="26"/>
      <c r="S50" s="26"/>
      <c r="T50" s="26"/>
      <c r="U50" s="27"/>
    </row>
    <row r="51" spans="5:21" x14ac:dyDescent="0.3">
      <c r="E51" s="25"/>
      <c r="F51" s="26"/>
      <c r="G51" s="26"/>
      <c r="H51" s="26"/>
      <c r="I51" s="27"/>
      <c r="K51" s="8" t="s">
        <v>20</v>
      </c>
      <c r="L51" s="58"/>
      <c r="M51" s="58"/>
      <c r="N51" s="58"/>
      <c r="O51" s="27"/>
      <c r="Q51" s="25"/>
      <c r="R51" s="26"/>
      <c r="S51" s="26"/>
      <c r="T51" s="26"/>
      <c r="U51" s="27"/>
    </row>
    <row r="52" spans="5:21" x14ac:dyDescent="0.3">
      <c r="E52" s="25"/>
      <c r="F52" s="26"/>
      <c r="G52" s="26"/>
      <c r="H52" s="26"/>
      <c r="I52" s="27"/>
      <c r="K52" s="8"/>
      <c r="L52" s="58"/>
      <c r="M52" s="58"/>
      <c r="N52" s="58"/>
      <c r="O52" s="27"/>
      <c r="Q52" s="25"/>
      <c r="R52" s="26"/>
      <c r="S52" s="26"/>
      <c r="T52" s="26"/>
      <c r="U52" s="27"/>
    </row>
    <row r="53" spans="5:21" x14ac:dyDescent="0.3">
      <c r="E53" s="25"/>
      <c r="F53" s="26"/>
      <c r="G53" s="26"/>
      <c r="H53" s="26"/>
      <c r="I53" s="27"/>
      <c r="K53" s="8"/>
      <c r="L53" s="58"/>
      <c r="M53" s="58"/>
      <c r="N53" s="58"/>
      <c r="O53" s="27"/>
      <c r="Q53" s="25"/>
      <c r="R53" s="26"/>
      <c r="S53" s="26"/>
      <c r="T53" s="26"/>
      <c r="U53" s="27"/>
    </row>
    <row r="54" spans="5:21" x14ac:dyDescent="0.3">
      <c r="E54" s="25"/>
      <c r="F54" s="26"/>
      <c r="G54" s="26"/>
      <c r="H54" s="26"/>
      <c r="I54" s="27"/>
      <c r="K54" s="25"/>
      <c r="L54" s="26"/>
      <c r="M54" s="26"/>
      <c r="N54" s="26"/>
      <c r="O54" s="27"/>
      <c r="Q54" s="25"/>
      <c r="R54" s="26"/>
      <c r="S54" s="26"/>
      <c r="T54" s="26"/>
      <c r="U54" s="27"/>
    </row>
    <row r="55" spans="5:21" x14ac:dyDescent="0.3">
      <c r="E55" s="25"/>
      <c r="F55" s="26"/>
      <c r="G55" s="26"/>
      <c r="H55" s="26"/>
      <c r="I55" s="27"/>
      <c r="K55" s="25"/>
      <c r="L55" s="26"/>
      <c r="M55" s="26"/>
      <c r="N55" s="26"/>
      <c r="O55" s="27"/>
      <c r="Q55" s="25"/>
      <c r="R55" s="26"/>
      <c r="S55" s="26"/>
      <c r="T55" s="26"/>
      <c r="U55" s="27"/>
    </row>
    <row r="56" spans="5:21" x14ac:dyDescent="0.3">
      <c r="E56" s="25"/>
      <c r="F56" s="26"/>
      <c r="G56" s="26"/>
      <c r="H56" s="26"/>
      <c r="I56" s="27"/>
      <c r="K56" s="25"/>
      <c r="L56" s="26"/>
      <c r="M56" s="26"/>
      <c r="N56" s="26"/>
      <c r="O56" s="27"/>
      <c r="Q56" s="25"/>
      <c r="R56" s="26"/>
      <c r="S56" s="26"/>
      <c r="T56" s="26"/>
      <c r="U56" s="27"/>
    </row>
    <row r="57" spans="5:21" x14ac:dyDescent="0.3">
      <c r="E57" s="25"/>
      <c r="F57" s="26"/>
      <c r="G57" s="26"/>
      <c r="H57" s="26"/>
      <c r="I57" s="27"/>
      <c r="K57" s="25"/>
      <c r="L57" s="26"/>
      <c r="M57" s="26"/>
      <c r="N57" s="26"/>
      <c r="O57" s="27"/>
      <c r="Q57" s="25"/>
      <c r="R57" s="26"/>
      <c r="S57" s="26"/>
      <c r="T57" s="26"/>
      <c r="U57" s="27"/>
    </row>
    <row r="58" spans="5:21" x14ac:dyDescent="0.3">
      <c r="E58" s="25"/>
      <c r="F58" s="26"/>
      <c r="G58" s="26"/>
      <c r="H58" s="26"/>
      <c r="I58" s="27"/>
      <c r="K58" s="25"/>
      <c r="L58" s="26"/>
      <c r="M58" s="26"/>
      <c r="N58" s="26"/>
      <c r="O58" s="27"/>
      <c r="Q58" s="25"/>
      <c r="R58" s="26"/>
      <c r="S58" s="26"/>
      <c r="T58" s="26"/>
      <c r="U58" s="27"/>
    </row>
    <row r="59" spans="5:21" ht="15" thickBot="1" x14ac:dyDescent="0.35">
      <c r="E59" s="29"/>
      <c r="F59" s="30"/>
      <c r="G59" s="30"/>
      <c r="H59" s="30"/>
      <c r="I59" s="31"/>
      <c r="K59" s="29"/>
      <c r="L59" s="30"/>
      <c r="M59" s="30"/>
      <c r="N59" s="30"/>
      <c r="O59" s="31"/>
      <c r="Q59" s="29"/>
      <c r="R59" s="30"/>
      <c r="S59" s="30"/>
      <c r="T59" s="30"/>
      <c r="U59" s="31"/>
    </row>
  </sheetData>
  <mergeCells count="19">
    <mergeCell ref="P4:S4"/>
    <mergeCell ref="P7:S7"/>
    <mergeCell ref="P9:S10"/>
    <mergeCell ref="P12:S12"/>
    <mergeCell ref="U4:X4"/>
    <mergeCell ref="U6:X6"/>
    <mergeCell ref="E27:I28"/>
    <mergeCell ref="E30:I31"/>
    <mergeCell ref="K27:O28"/>
    <mergeCell ref="K30:O31"/>
    <mergeCell ref="K51:N53"/>
    <mergeCell ref="Q27:U28"/>
    <mergeCell ref="Q30:U30"/>
    <mergeCell ref="E4:I4"/>
    <mergeCell ref="E7:F10"/>
    <mergeCell ref="K4:N4"/>
    <mergeCell ref="K7:N7"/>
    <mergeCell ref="B2:N2"/>
    <mergeCell ref="B1:N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4BF0-2509-49D2-B707-3747891E83A7}">
  <dimension ref="B2:M39"/>
  <sheetViews>
    <sheetView tabSelected="1" workbookViewId="0">
      <selection activeCell="D9" sqref="D9"/>
    </sheetView>
  </sheetViews>
  <sheetFormatPr baseColWidth="10" defaultRowHeight="14.4" x14ac:dyDescent="0.3"/>
  <cols>
    <col min="2" max="2" width="11.5546875" style="3"/>
  </cols>
  <sheetData>
    <row r="2" spans="2:13" x14ac:dyDescent="0.3">
      <c r="B2" s="82" t="s">
        <v>36</v>
      </c>
      <c r="C2" s="82"/>
      <c r="D2" s="82"/>
      <c r="E2" s="82"/>
    </row>
    <row r="3" spans="2:13" ht="15" thickBot="1" x14ac:dyDescent="0.35"/>
    <row r="4" spans="2:13" x14ac:dyDescent="0.3">
      <c r="B4" s="83" t="s">
        <v>37</v>
      </c>
      <c r="C4" s="84"/>
      <c r="D4" s="84"/>
      <c r="E4" s="85"/>
    </row>
    <row r="5" spans="2:13" x14ac:dyDescent="0.3">
      <c r="B5" s="63"/>
      <c r="C5" s="64"/>
      <c r="D5" s="64"/>
      <c r="E5" s="65"/>
    </row>
    <row r="6" spans="2:13" ht="15" thickBot="1" x14ac:dyDescent="0.35">
      <c r="B6" s="86"/>
      <c r="C6" s="87"/>
      <c r="D6" s="87"/>
      <c r="E6" s="88"/>
    </row>
    <row r="8" spans="2:13" ht="28.8" x14ac:dyDescent="0.3">
      <c r="B8" s="36" t="s">
        <v>0</v>
      </c>
      <c r="C8" s="36" t="s">
        <v>38</v>
      </c>
    </row>
    <row r="9" spans="2:13" ht="23.4" x14ac:dyDescent="0.3">
      <c r="B9" s="7">
        <v>1</v>
      </c>
      <c r="C9" s="6">
        <v>8</v>
      </c>
      <c r="F9" s="89" t="s">
        <v>5</v>
      </c>
      <c r="M9" s="89" t="s">
        <v>51</v>
      </c>
    </row>
    <row r="10" spans="2:13" x14ac:dyDescent="0.3">
      <c r="B10" s="7">
        <v>2</v>
      </c>
      <c r="C10" s="6">
        <v>10</v>
      </c>
      <c r="F10" s="55"/>
      <c r="M10" s="55"/>
    </row>
    <row r="11" spans="2:13" x14ac:dyDescent="0.3">
      <c r="B11" s="7">
        <v>3</v>
      </c>
      <c r="C11" s="6">
        <v>12</v>
      </c>
      <c r="F11" s="55" t="s">
        <v>39</v>
      </c>
      <c r="M11" s="55" t="s">
        <v>52</v>
      </c>
    </row>
    <row r="12" spans="2:13" x14ac:dyDescent="0.3">
      <c r="B12" s="7">
        <v>4</v>
      </c>
      <c r="C12" s="6">
        <v>9</v>
      </c>
      <c r="F12" s="55" t="s">
        <v>40</v>
      </c>
      <c r="M12" s="55" t="s">
        <v>53</v>
      </c>
    </row>
    <row r="13" spans="2:13" x14ac:dyDescent="0.3">
      <c r="B13" s="7">
        <v>5</v>
      </c>
      <c r="C13" s="6">
        <v>15</v>
      </c>
      <c r="F13" s="55" t="s">
        <v>41</v>
      </c>
      <c r="M13" s="55" t="s">
        <v>54</v>
      </c>
    </row>
    <row r="14" spans="2:13" x14ac:dyDescent="0.3">
      <c r="B14" s="7">
        <v>6</v>
      </c>
      <c r="C14" s="6">
        <v>11</v>
      </c>
    </row>
    <row r="15" spans="2:13" x14ac:dyDescent="0.3">
      <c r="B15" s="7">
        <v>7</v>
      </c>
      <c r="C15" s="6">
        <v>13</v>
      </c>
    </row>
    <row r="16" spans="2:13" x14ac:dyDescent="0.3">
      <c r="B16" s="7">
        <v>8</v>
      </c>
      <c r="C16" s="6">
        <v>10</v>
      </c>
    </row>
    <row r="17" spans="2:13" ht="23.4" x14ac:dyDescent="0.3">
      <c r="B17" s="7">
        <v>9</v>
      </c>
      <c r="C17" s="6">
        <v>14</v>
      </c>
      <c r="F17" s="89" t="s">
        <v>42</v>
      </c>
      <c r="M17" s="89" t="s">
        <v>55</v>
      </c>
    </row>
    <row r="18" spans="2:13" x14ac:dyDescent="0.3">
      <c r="B18" s="7">
        <v>10</v>
      </c>
      <c r="C18" s="6">
        <v>12</v>
      </c>
      <c r="F18" s="55"/>
      <c r="M18" s="55"/>
    </row>
    <row r="19" spans="2:13" x14ac:dyDescent="0.3">
      <c r="B19" s="7">
        <v>11</v>
      </c>
      <c r="C19" s="6">
        <v>9</v>
      </c>
      <c r="F19" s="55" t="s">
        <v>43</v>
      </c>
      <c r="M19" s="55" t="s">
        <v>56</v>
      </c>
    </row>
    <row r="20" spans="2:13" x14ac:dyDescent="0.3">
      <c r="B20" s="7">
        <v>12</v>
      </c>
      <c r="C20" s="6">
        <v>11</v>
      </c>
      <c r="F20" s="55" t="s">
        <v>44</v>
      </c>
      <c r="M20" s="55" t="s">
        <v>57</v>
      </c>
    </row>
    <row r="21" spans="2:13" x14ac:dyDescent="0.3">
      <c r="B21" s="7">
        <v>13</v>
      </c>
      <c r="C21" s="6">
        <v>13</v>
      </c>
      <c r="F21" s="55" t="s">
        <v>45</v>
      </c>
      <c r="M21" s="55" t="s">
        <v>58</v>
      </c>
    </row>
    <row r="22" spans="2:13" x14ac:dyDescent="0.3">
      <c r="B22" s="7">
        <v>14</v>
      </c>
      <c r="C22" s="6">
        <v>15</v>
      </c>
    </row>
    <row r="23" spans="2:13" x14ac:dyDescent="0.3">
      <c r="B23" s="7">
        <v>15</v>
      </c>
      <c r="C23" s="6">
        <v>10</v>
      </c>
    </row>
    <row r="24" spans="2:13" ht="23.4" x14ac:dyDescent="0.3">
      <c r="B24" s="7">
        <v>16</v>
      </c>
      <c r="C24" s="6">
        <v>12</v>
      </c>
      <c r="F24" s="89" t="s">
        <v>46</v>
      </c>
    </row>
    <row r="25" spans="2:13" ht="23.4" x14ac:dyDescent="0.3">
      <c r="B25" s="7">
        <v>17</v>
      </c>
      <c r="C25" s="6">
        <v>14</v>
      </c>
      <c r="M25" s="89" t="s">
        <v>59</v>
      </c>
    </row>
    <row r="26" spans="2:13" x14ac:dyDescent="0.3">
      <c r="B26" s="7">
        <v>18</v>
      </c>
      <c r="C26" s="6">
        <v>9</v>
      </c>
      <c r="F26" t="s">
        <v>47</v>
      </c>
      <c r="M26" s="55"/>
    </row>
    <row r="27" spans="2:13" x14ac:dyDescent="0.3">
      <c r="B27" s="7">
        <v>19</v>
      </c>
      <c r="C27" s="6">
        <v>11</v>
      </c>
      <c r="M27" s="55" t="s">
        <v>60</v>
      </c>
    </row>
    <row r="28" spans="2:13" x14ac:dyDescent="0.3">
      <c r="B28" s="7">
        <v>20</v>
      </c>
      <c r="C28" s="6">
        <v>13</v>
      </c>
      <c r="F28" s="1" t="s">
        <v>12</v>
      </c>
      <c r="M28" s="55" t="s">
        <v>61</v>
      </c>
    </row>
    <row r="29" spans="2:13" x14ac:dyDescent="0.3">
      <c r="B29" s="7">
        <v>21</v>
      </c>
      <c r="C29" s="6">
        <v>12</v>
      </c>
      <c r="F29" s="42">
        <v>46273</v>
      </c>
      <c r="M29" s="55" t="s">
        <v>62</v>
      </c>
    </row>
    <row r="30" spans="2:13" x14ac:dyDescent="0.3">
      <c r="B30" s="7">
        <v>22</v>
      </c>
      <c r="C30" s="6">
        <v>10</v>
      </c>
      <c r="F30" s="42">
        <v>46336</v>
      </c>
      <c r="M30" s="55" t="s">
        <v>63</v>
      </c>
    </row>
    <row r="31" spans="2:13" x14ac:dyDescent="0.3">
      <c r="B31" s="7">
        <v>23</v>
      </c>
      <c r="C31" s="6">
        <v>14</v>
      </c>
      <c r="F31" s="90">
        <v>41609</v>
      </c>
    </row>
    <row r="32" spans="2:13" x14ac:dyDescent="0.3">
      <c r="B32" s="7">
        <v>24</v>
      </c>
      <c r="C32" s="6">
        <v>15</v>
      </c>
      <c r="F32" s="2" t="s">
        <v>48</v>
      </c>
    </row>
    <row r="33" spans="2:13" x14ac:dyDescent="0.3">
      <c r="B33" s="7">
        <v>25</v>
      </c>
      <c r="C33" s="6">
        <v>11</v>
      </c>
      <c r="F33" s="55"/>
    </row>
    <row r="34" spans="2:13" ht="23.4" x14ac:dyDescent="0.3">
      <c r="F34" s="55" t="s">
        <v>49</v>
      </c>
      <c r="M34" s="89" t="s">
        <v>64</v>
      </c>
    </row>
    <row r="35" spans="2:13" x14ac:dyDescent="0.3">
      <c r="F35" s="55" t="s">
        <v>50</v>
      </c>
      <c r="M35" s="55"/>
    </row>
    <row r="36" spans="2:13" x14ac:dyDescent="0.3">
      <c r="M36" s="55" t="s">
        <v>65</v>
      </c>
    </row>
    <row r="37" spans="2:13" x14ac:dyDescent="0.3">
      <c r="M37" s="55" t="s">
        <v>66</v>
      </c>
    </row>
    <row r="38" spans="2:13" x14ac:dyDescent="0.3">
      <c r="M38" s="55" t="s">
        <v>67</v>
      </c>
    </row>
    <row r="39" spans="2:13" x14ac:dyDescent="0.3">
      <c r="M39" s="55" t="s">
        <v>68</v>
      </c>
    </row>
  </sheetData>
  <mergeCells count="2">
    <mergeCell ref="B4:E6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</vt:lpstr>
      <vt:lpstr>EJERCICIO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Torres</dc:creator>
  <cp:lastModifiedBy>Harol Torres</cp:lastModifiedBy>
  <dcterms:created xsi:type="dcterms:W3CDTF">2026-06-02T12:08:24Z</dcterms:created>
  <dcterms:modified xsi:type="dcterms:W3CDTF">2026-06-02T12:57:27Z</dcterms:modified>
</cp:coreProperties>
</file>